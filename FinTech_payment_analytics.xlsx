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13.xml" ContentType="application/vnd.openxmlformats-officedocument.spreadsheetml.pivot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 hidePivotFieldList="1" defaultThemeVersion="166925"/>
  <xr:revisionPtr revIDLastSave="0" documentId="8_{869B81A5-4608-4D49-B09B-519C535C3017}" xr6:coauthVersionLast="47" xr6:coauthVersionMax="47" xr10:uidLastSave="{00000000-0000-0000-0000-000000000000}"/>
  <bookViews>
    <workbookView xWindow="240" yWindow="105" windowWidth="14805" windowHeight="8010" firstSheet="9" activeTab="9" xr2:uid="{00000000-000D-0000-FFFF-FFFF00000000}"/>
  </bookViews>
  <sheets>
    <sheet name="Payment wise Transcation Amount" sheetId="2" r:id="rId1"/>
    <sheet name="Transcation status wise count" sheetId="3" r:id="rId2"/>
    <sheet name="Transcation status wise Amount " sheetId="4" r:id="rId3"/>
    <sheet name="Customer wise transcation count" sheetId="9" r:id="rId4"/>
    <sheet name="Customer wise Transcation Amou" sheetId="10" r:id="rId5"/>
    <sheet name="Customer wise suc &amp; fail tran" sheetId="11" r:id="rId6"/>
    <sheet name="Daily Tran Count " sheetId="12" r:id="rId7"/>
    <sheet name="Daily Tran Amount" sheetId="13" r:id="rId8"/>
    <sheet name="Payment method Status" sheetId="14" r:id="rId9"/>
    <sheet name="Dashboard" sheetId="20" r:id="rId10"/>
    <sheet name="Payment method amount" sheetId="15" r:id="rId11"/>
    <sheet name="Top Customer amount" sheetId="16" r:id="rId12"/>
    <sheet name="Failure Reason amount" sheetId="18" r:id="rId13"/>
    <sheet name="KPI" sheetId="19" r:id="rId14"/>
    <sheet name="Transcation_Data" sheetId="1" r:id="rId15"/>
    <sheet name="Top merchant tran amount" sheetId="17" r:id="rId16"/>
    <sheet name="Merchant wise Transcation amou" sheetId="7" r:id="rId17"/>
    <sheet name="Merchant Status Analysis" sheetId="8" r:id="rId18"/>
    <sheet name="Failure reason wise count" sheetId="5" r:id="rId19"/>
    <sheet name="Merchant Wise Count" sheetId="6" r:id="rId20"/>
  </sheets>
  <calcPr calcId="191028" calcCompleted="0"/>
  <pivotCaches>
    <pivotCache cacheId="1017" r:id="rId2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7" l="1"/>
  <c r="B4" i="17"/>
  <c r="B5" i="17"/>
  <c r="B6" i="17"/>
  <c r="B2" i="17"/>
  <c r="C3" i="8"/>
  <c r="C4" i="8"/>
  <c r="C5" i="8"/>
  <c r="C6" i="8"/>
  <c r="C2" i="8"/>
  <c r="B3" i="8"/>
  <c r="B4" i="8"/>
  <c r="B5" i="8"/>
  <c r="B6" i="8"/>
  <c r="B2" i="8"/>
  <c r="B3" i="7"/>
  <c r="B4" i="7"/>
  <c r="B5" i="7"/>
  <c r="B6" i="7"/>
  <c r="B2" i="7"/>
  <c r="B3" i="6"/>
  <c r="B4" i="6"/>
  <c r="B5" i="6"/>
  <c r="B6" i="6"/>
  <c r="B2" i="6"/>
  <c r="G17" i="1"/>
  <c r="G14" i="1"/>
  <c r="A12" i="1"/>
  <c r="E12" i="1"/>
  <c r="B16" i="1"/>
  <c r="B16" i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<sst xmlns="http://schemas.openxmlformats.org/spreadsheetml/2006/main" count="145" uniqueCount="44">
  <si>
    <t>Payment Menthod</t>
  </si>
  <si>
    <t>Count of Transcation ID</t>
  </si>
  <si>
    <t>Sum of Amount</t>
  </si>
  <si>
    <t>Credit Card</t>
  </si>
  <si>
    <t>Debit Card</t>
  </si>
  <si>
    <t>Net Banking</t>
  </si>
  <si>
    <t>UPI</t>
  </si>
  <si>
    <t>Grand Total</t>
  </si>
  <si>
    <t>Transcation status</t>
  </si>
  <si>
    <t>Sum of Transcation ID</t>
  </si>
  <si>
    <t>Failed</t>
  </si>
  <si>
    <t>Success</t>
  </si>
  <si>
    <t>customer ID</t>
  </si>
  <si>
    <t>Transcation Date</t>
  </si>
  <si>
    <t>Failure Reason</t>
  </si>
  <si>
    <t>Insufficient Balance</t>
  </si>
  <si>
    <t>Technical Error</t>
  </si>
  <si>
    <t>KPI</t>
  </si>
  <si>
    <t>values</t>
  </si>
  <si>
    <t>Total Transactions</t>
  </si>
  <si>
    <t>Total Transaction Amount</t>
  </si>
  <si>
    <t>Successful Transactions</t>
  </si>
  <si>
    <t>Failed Transactions</t>
  </si>
  <si>
    <t>Transcation ID</t>
  </si>
  <si>
    <t>Merchant ID</t>
  </si>
  <si>
    <t>Merchant Name</t>
  </si>
  <si>
    <t>Amount</t>
  </si>
  <si>
    <t>Amazon</t>
  </si>
  <si>
    <t>Swiggy</t>
  </si>
  <si>
    <t>Flipkart</t>
  </si>
  <si>
    <t>Apollo Pharmacy</t>
  </si>
  <si>
    <t>IRCTC</t>
  </si>
  <si>
    <t>Total Transcation Count</t>
  </si>
  <si>
    <t>Total Transcation Amount</t>
  </si>
  <si>
    <t>SuccessFull Transcation</t>
  </si>
  <si>
    <t>Failed Transcation</t>
  </si>
  <si>
    <r>
      <t xml:space="preserve">हो ❤️ </t>
    </r>
    <r>
      <rPr>
        <b/>
        <sz val="11"/>
        <color theme="1"/>
        <rFont val="Calibri"/>
        <family val="2"/>
        <scheme val="minor"/>
      </rPr>
      <t>save केलं आहे.</t>
    </r>
  </si>
  <si>
    <r>
      <t xml:space="preserve">पुढच्या वेळी आपण इथूनच </t>
    </r>
    <r>
      <rPr>
        <b/>
        <sz val="11"/>
        <color theme="1"/>
        <rFont val="Calibri"/>
        <family val="2"/>
        <scheme val="minor"/>
      </rPr>
      <t>Payment Method-wise Transaction Count</t>
    </r>
    <r>
      <rPr>
        <sz val="11"/>
        <color theme="1"/>
        <rFont val="Calibri"/>
        <family val="2"/>
        <scheme val="minor"/>
      </rPr>
      <t xml:space="preserve"> पासून सुरू करू.</t>
    </r>
  </si>
  <si>
    <t>Total Amount</t>
  </si>
  <si>
    <t>Transaction Amount</t>
  </si>
  <si>
    <t>Success count</t>
  </si>
  <si>
    <t>Failed count</t>
  </si>
  <si>
    <t>(blank)</t>
  </si>
  <si>
    <t>Transcation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</si>
</sst>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22" fontId="0" fillId="0" borderId="0" xfId="0" applyNumberFormat="1"/>
    <xf numFmtId="0" fontId="0" fillId="2" borderId="5" xfId="0" applyFill="1" applyBorder="1"/>
    <xf numFmtId="0" fontId="0" fillId="0" borderId="6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0" xfId="0" pivotButton="1"/>
    <xf numFmtId="0" fontId="0" fillId="0" borderId="0" xfId="0" applyNumberFormat="1"/>
    <xf numFmtId="0" fontId="0" fillId="0" borderId="7" xfId="0" applyBorder="1"/>
    <xf numFmtId="0" fontId="1" fillId="2" borderId="7" xfId="0" applyFont="1" applyFill="1" applyBorder="1"/>
    <xf numFmtId="0" fontId="0" fillId="2" borderId="7" xfId="0" applyFill="1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1">
    <dxf>
      <numFmt numFmtId="27" formatCode="dd/mm/yyyy\ hh: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1.xlsx]Payment method Status!PivotTable14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tang"/>
                <a:ea typeface="Batang"/>
                <a:cs typeface="Batang"/>
              </a:defRPr>
            </a:pPr>
            <a:r>
              <a:rPr lang="en-US"/>
              <a:t>Transaction Status by Payment Method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tang"/>
              <a:ea typeface="Batang"/>
              <a:cs typeface="Batang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Status'!$B$3:$B$4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Status'!$A$5:$A$9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Status'!$B$5:$B$9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13-47E2-8A15-F68287AD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39111"/>
        <c:axId val="1838906887"/>
      </c:barChart>
      <c:lineChart>
        <c:grouping val="standard"/>
        <c:varyColors val="0"/>
        <c:ser>
          <c:idx val="1"/>
          <c:order val="1"/>
          <c:tx>
            <c:strRef>
              <c:f>'Payment method Status'!$C$3:$C$4</c:f>
              <c:strCache>
                <c:ptCount val="1"/>
                <c:pt idx="0">
                  <c:v>Success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'Payment method Status'!$A$5:$A$9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Status'!$C$5:$C$9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13-47E2-8A15-F68287ADC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82536"/>
        <c:axId val="2130577416"/>
      </c:lineChart>
      <c:catAx>
        <c:axId val="17303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06887"/>
        <c:crosses val="autoZero"/>
        <c:auto val="1"/>
        <c:lblAlgn val="ctr"/>
        <c:lblOffset val="100"/>
        <c:noMultiLvlLbl val="0"/>
      </c:catAx>
      <c:valAx>
        <c:axId val="1838906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9111"/>
        <c:crosses val="autoZero"/>
        <c:crossBetween val="between"/>
      </c:valAx>
      <c:valAx>
        <c:axId val="21305774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82536"/>
        <c:crosses val="max"/>
        <c:crossBetween val="between"/>
      </c:valAx>
      <c:catAx>
        <c:axId val="2130582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05774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1.xlsx]Payment method Status!PivotTable14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Transaction Status by Payment Method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Status'!$B$3:$B$4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Status'!$A$5:$A$9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Status'!$B$5:$B$9</c:f>
              <c:numCache>
                <c:formatCode>General</c:formatCode>
                <c:ptCount val="4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4-468F-927A-0B7797B9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039111"/>
        <c:axId val="1838906887"/>
      </c:barChart>
      <c:lineChart>
        <c:grouping val="standard"/>
        <c:varyColors val="0"/>
        <c:ser>
          <c:idx val="1"/>
          <c:order val="1"/>
          <c:tx>
            <c:strRef>
              <c:f>'Payment method Status'!$C$3:$C$4</c:f>
              <c:strCache>
                <c:ptCount val="1"/>
                <c:pt idx="0">
                  <c:v>Success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'Payment method Status'!$A$5:$A$9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Status'!$C$5:$C$9</c:f>
              <c:numCache>
                <c:formatCode>General</c:formatCode>
                <c:ptCount val="4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B4-468F-927A-0B7797B953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582536"/>
        <c:axId val="2130577416"/>
      </c:lineChart>
      <c:catAx>
        <c:axId val="173039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8906887"/>
        <c:crosses val="autoZero"/>
        <c:auto val="1"/>
        <c:lblAlgn val="ctr"/>
        <c:lblOffset val="100"/>
        <c:noMultiLvlLbl val="0"/>
      </c:catAx>
      <c:valAx>
        <c:axId val="1838906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039111"/>
        <c:crosses val="autoZero"/>
        <c:crossBetween val="between"/>
      </c:valAx>
      <c:valAx>
        <c:axId val="213057741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582536"/>
        <c:crosses val="max"/>
        <c:crossBetween val="between"/>
      </c:valAx>
      <c:catAx>
        <c:axId val="213058253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130577416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1.xlsx]Payment method amount!PivotTable15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Payment Method 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amount'!$A$4:$A$8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amount'!$B$4:$B$8</c:f>
              <c:numCache>
                <c:formatCode>General</c:formatCode>
                <c:ptCount val="4"/>
                <c:pt idx="0">
                  <c:v>13350</c:v>
                </c:pt>
                <c:pt idx="1">
                  <c:v>1200</c:v>
                </c:pt>
                <c:pt idx="2">
                  <c:v>3500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7D-471C-B987-F5F0DECCB4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922887"/>
        <c:axId val="868924935"/>
      </c:barChart>
      <c:catAx>
        <c:axId val="86892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24935"/>
        <c:crosses val="autoZero"/>
        <c:auto val="1"/>
        <c:lblAlgn val="ctr"/>
        <c:lblOffset val="100"/>
        <c:noMultiLvlLbl val="0"/>
      </c:catAx>
      <c:valAx>
        <c:axId val="868924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2288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Merchant-wise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merchant tran amount'!$B$1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merchant tran amount'!$A$2:$A$6</c:f>
              <c:strCache>
                <c:ptCount val="5"/>
                <c:pt idx="0">
                  <c:v>Amazon</c:v>
                </c:pt>
                <c:pt idx="1">
                  <c:v>Swiggy</c:v>
                </c:pt>
                <c:pt idx="2">
                  <c:v>Flipkart</c:v>
                </c:pt>
                <c:pt idx="3">
                  <c:v>Apollo Pharmacy</c:v>
                </c:pt>
                <c:pt idx="4">
                  <c:v>IRCTC</c:v>
                </c:pt>
              </c:strCache>
            </c:strRef>
          </c:cat>
          <c:val>
            <c:numRef>
              <c:f>'Top merchant tran amount'!$B$2:$B$6</c:f>
              <c:numCache>
                <c:formatCode>General</c:formatCode>
                <c:ptCount val="5"/>
                <c:pt idx="0">
                  <c:v>17000</c:v>
                </c:pt>
                <c:pt idx="1">
                  <c:v>2650</c:v>
                </c:pt>
                <c:pt idx="2">
                  <c:v>7200</c:v>
                </c:pt>
                <c:pt idx="3">
                  <c:v>3700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B-498E-9B5B-81A029BFB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996167"/>
        <c:axId val="926160391"/>
      </c:barChart>
      <c:catAx>
        <c:axId val="33999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160391"/>
        <c:crosses val="autoZero"/>
        <c:auto val="1"/>
        <c:lblAlgn val="ctr"/>
        <c:lblOffset val="100"/>
        <c:noMultiLvlLbl val="0"/>
      </c:catAx>
      <c:valAx>
        <c:axId val="926160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9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1.xlsx]Failure Reason amount!PivotTable18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Failure Reason-wise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'Failure Reason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'Failure Reason amount'!$A$4:$A$6</c:f>
              <c:strCache>
                <c:ptCount val="2"/>
                <c:pt idx="0">
                  <c:v>Insufficient Balance</c:v>
                </c:pt>
                <c:pt idx="1">
                  <c:v>Technical Error</c:v>
                </c:pt>
              </c:strCache>
            </c:strRef>
          </c:cat>
          <c:val>
            <c:numRef>
              <c:f>'Failure Reason amount'!$B$4:$B$6</c:f>
              <c:numCache>
                <c:formatCode>General</c:formatCode>
                <c:ptCount val="2"/>
                <c:pt idx="0">
                  <c:v>7200</c:v>
                </c:pt>
                <c:pt idx="1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95-4179-A87C-FB76B3FC2A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383112"/>
        <c:axId val="2011432456"/>
      </c:barChart>
      <c:catAx>
        <c:axId val="20063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32456"/>
        <c:crosses val="autoZero"/>
        <c:auto val="1"/>
        <c:lblAlgn val="ctr"/>
        <c:lblOffset val="100"/>
        <c:noMultiLvlLbl val="0"/>
      </c:catAx>
      <c:valAx>
        <c:axId val="201143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1.xlsx]Payment method amount!PivotTable15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Payment Method 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'Payment method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'Payment method amount'!$A$4:$A$8</c:f>
              <c:strCache>
                <c:ptCount val="4"/>
                <c:pt idx="0">
                  <c:v>Credit Card</c:v>
                </c:pt>
                <c:pt idx="1">
                  <c:v>Debit Card</c:v>
                </c:pt>
                <c:pt idx="2">
                  <c:v>Net Banking</c:v>
                </c:pt>
                <c:pt idx="3">
                  <c:v>UPI</c:v>
                </c:pt>
              </c:strCache>
            </c:strRef>
          </c:cat>
          <c:val>
            <c:numRef>
              <c:f>'Payment method amount'!$B$4:$B$8</c:f>
              <c:numCache>
                <c:formatCode>General</c:formatCode>
                <c:ptCount val="4"/>
                <c:pt idx="0">
                  <c:v>13350</c:v>
                </c:pt>
                <c:pt idx="1">
                  <c:v>1200</c:v>
                </c:pt>
                <c:pt idx="2">
                  <c:v>3500</c:v>
                </c:pt>
                <c:pt idx="3">
                  <c:v>16000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EF-4771-82A2-236A09B99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8922887"/>
        <c:axId val="868924935"/>
      </c:barChart>
      <c:catAx>
        <c:axId val="868922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24935"/>
        <c:crosses val="autoZero"/>
        <c:auto val="1"/>
        <c:lblAlgn val="ctr"/>
        <c:lblOffset val="100"/>
        <c:noMultiLvlLbl val="0"/>
      </c:catAx>
      <c:valAx>
        <c:axId val="868924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8922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 1.xlsx]Failure Reason amount!PivotTable18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Failure Reason-wise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'Failure Reason amount'!$B$3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'Failure Reason amount'!$A$4:$A$6</c:f>
              <c:strCache>
                <c:ptCount val="2"/>
                <c:pt idx="0">
                  <c:v>Insufficient Balance</c:v>
                </c:pt>
                <c:pt idx="1">
                  <c:v>Technical Error</c:v>
                </c:pt>
              </c:strCache>
            </c:strRef>
          </c:cat>
          <c:val>
            <c:numRef>
              <c:f>'Failure Reason amount'!$B$4:$B$6</c:f>
              <c:numCache>
                <c:formatCode>General</c:formatCode>
                <c:ptCount val="2"/>
                <c:pt idx="0">
                  <c:v>7200</c:v>
                </c:pt>
                <c:pt idx="1">
                  <c:v>1800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2C-4F52-960F-732DCDEFC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06383112"/>
        <c:axId val="2011432456"/>
      </c:barChart>
      <c:catAx>
        <c:axId val="2006383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1432456"/>
        <c:crosses val="autoZero"/>
        <c:auto val="1"/>
        <c:lblAlgn val="ctr"/>
        <c:lblOffset val="100"/>
        <c:noMultiLvlLbl val="0"/>
      </c:catAx>
      <c:valAx>
        <c:axId val="2011432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383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Merchant-wise Transaction Amount</a:t>
            </a:r>
          </a:p>
        </c:rich>
      </c:tx>
      <c:overlay val="0"/>
      <c:spPr>
        <a:solidFill>
          <a:srgbClr val="D9E1F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'Top merchant tran amount'!$B$1</c:f>
              <c:strCache>
                <c:ptCount val="1"/>
                <c:pt idx="0">
                  <c:v>Total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merchant tran amount'!$A$2:$A$6</c:f>
              <c:strCache>
                <c:ptCount val="5"/>
                <c:pt idx="0">
                  <c:v>Amazon</c:v>
                </c:pt>
                <c:pt idx="1">
                  <c:v>Swiggy</c:v>
                </c:pt>
                <c:pt idx="2">
                  <c:v>Flipkart</c:v>
                </c:pt>
                <c:pt idx="3">
                  <c:v>Apollo Pharmacy</c:v>
                </c:pt>
                <c:pt idx="4">
                  <c:v>IRCTC</c:v>
                </c:pt>
              </c:strCache>
            </c:strRef>
          </c:cat>
          <c:val>
            <c:numRef>
              <c:f>'Top merchant tran amount'!$B$2:$B$6</c:f>
              <c:numCache>
                <c:formatCode>General</c:formatCode>
                <c:ptCount val="5"/>
                <c:pt idx="0">
                  <c:v>17000</c:v>
                </c:pt>
                <c:pt idx="1">
                  <c:v>2650</c:v>
                </c:pt>
                <c:pt idx="2">
                  <c:v>7200</c:v>
                </c:pt>
                <c:pt idx="3">
                  <c:v>3700</c:v>
                </c:pt>
                <c:pt idx="4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E8-4815-87E0-354D120F1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9996167"/>
        <c:axId val="926160391"/>
      </c:barChart>
      <c:catAx>
        <c:axId val="339996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6160391"/>
        <c:crosses val="autoZero"/>
        <c:auto val="1"/>
        <c:lblAlgn val="ctr"/>
        <c:lblOffset val="100"/>
        <c:noMultiLvlLbl val="0"/>
      </c:catAx>
      <c:valAx>
        <c:axId val="926160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996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962025</xdr:colOff>
      <xdr:row>20</xdr:row>
      <xdr:rowOff>57150</xdr:rowOff>
    </xdr:from>
    <xdr:to>
      <xdr:col>8</xdr:col>
      <xdr:colOff>400050</xdr:colOff>
      <xdr:row>34</xdr:row>
      <xdr:rowOff>133350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258B689-41D6-F5A1-AC86-C0CFF769E4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28575</xdr:colOff>
      <xdr:row>15</xdr:row>
      <xdr:rowOff>171450</xdr:rowOff>
    </xdr:to>
    <xdr:graphicFrame macro="">
      <xdr:nvGraphicFramePr>
        <xdr:cNvPr id="2" name="Chart 7">
          <a:extLst>
            <a:ext uri="{FF2B5EF4-FFF2-40B4-BE49-F238E27FC236}">
              <a16:creationId xmlns:a16="http://schemas.microsoft.com/office/drawing/2014/main" id="{446E962E-DDE6-40D5-AE5E-E8E29D00F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285750</xdr:colOff>
      <xdr:row>0</xdr:row>
      <xdr:rowOff>0</xdr:rowOff>
    </xdr:from>
    <xdr:to>
      <xdr:col>14</xdr:col>
      <xdr:colOff>504825</xdr:colOff>
      <xdr:row>16</xdr:row>
      <xdr:rowOff>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199BAD1-3A34-4938-A795-D17565C1B3F1}"/>
            </a:ext>
            <a:ext uri="{147F2762-F138-4A5C-976F-8EAC2B608ADB}">
              <a16:predDERef xmlns:a16="http://schemas.microsoft.com/office/drawing/2014/main" pred="{446E962E-DDE6-40D5-AE5E-E8E29D00F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66675</xdr:rowOff>
    </xdr:from>
    <xdr:to>
      <xdr:col>6</xdr:col>
      <xdr:colOff>561975</xdr:colOff>
      <xdr:row>32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D928339-D70A-4144-9981-0F737D44E9DC}"/>
            </a:ext>
            <a:ext uri="{147F2762-F138-4A5C-976F-8EAC2B608ADB}">
              <a16:predDERef xmlns:a16="http://schemas.microsoft.com/office/drawing/2014/main" pred="{0199BAD1-3A34-4938-A795-D17565C1B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238125</xdr:colOff>
      <xdr:row>18</xdr:row>
      <xdr:rowOff>85725</xdr:rowOff>
    </xdr:from>
    <xdr:to>
      <xdr:col>15</xdr:col>
      <xdr:colOff>352425</xdr:colOff>
      <xdr:row>33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4EB3ED2-4C6A-4C2D-B4E8-6ACF56BFFC07}"/>
            </a:ext>
            <a:ext uri="{147F2762-F138-4A5C-976F-8EAC2B608ADB}">
              <a16:predDERef xmlns:a16="http://schemas.microsoft.com/office/drawing/2014/main" pred="{9D928339-D70A-4144-9981-0F737D44E9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438150</xdr:colOff>
      <xdr:row>2</xdr:row>
      <xdr:rowOff>57150</xdr:rowOff>
    </xdr:from>
    <xdr:to>
      <xdr:col>8</xdr:col>
      <xdr:colOff>333375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F22CA0-8984-C29B-8C7F-98ADB2084F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628650</xdr:colOff>
      <xdr:row>2</xdr:row>
      <xdr:rowOff>57150</xdr:rowOff>
    </xdr:from>
    <xdr:to>
      <xdr:col>8</xdr:col>
      <xdr:colOff>523875</xdr:colOff>
      <xdr:row>16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A8DD3F8-F1C4-652B-CD17-3035EC0E23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314325</xdr:colOff>
      <xdr:row>21</xdr:row>
      <xdr:rowOff>95250</xdr:rowOff>
    </xdr:from>
    <xdr:to>
      <xdr:col>11</xdr:col>
      <xdr:colOff>9525</xdr:colOff>
      <xdr:row>35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99489A8-F051-BC66-E94C-D0F1AA9ED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80.490078356481" createdVersion="8" refreshedVersion="8" minRefreshableVersion="3" recordCount="8" xr:uid="{FA9C58B6-4F17-4BDC-B771-08523703ED83}">
  <cacheSource type="worksheet">
    <worksheetSource name="Table1"/>
  </cacheSource>
  <cacheFields count="8">
    <cacheField name="Transcation ID" numFmtId="0">
      <sharedItems containsSemiMixedTypes="0" containsString="0" containsNumber="1" containsInteger="1" minValue="1001" maxValue="1008"/>
    </cacheField>
    <cacheField name="customer ID" numFmtId="0">
      <sharedItems containsSemiMixedTypes="0" containsString="0" containsNumber="1" containsInteger="1" minValue="1" maxValue="5" count="5">
        <n v="1"/>
        <n v="2"/>
        <n v="3"/>
        <n v="4"/>
        <n v="5"/>
      </sharedItems>
    </cacheField>
    <cacheField name="Merchant ID" numFmtId="0">
      <sharedItems containsSemiMixedTypes="0" containsString="0" containsNumber="1" containsInteger="1" minValue="101" maxValue="105" count="5">
        <n v="101"/>
        <n v="102"/>
        <n v="103"/>
        <n v="104"/>
        <n v="105"/>
      </sharedItems>
    </cacheField>
    <cacheField name="Transcation Date" numFmtId="22">
      <sharedItems containsSemiMixedTypes="0" containsNonDate="0" containsDate="1" containsString="0" minDate="2026-03-01T00:00:00" maxDate="2026-10-07T00:00:00" count="7">
        <d v="2026-03-01T00:00:00"/>
        <d v="2026-09-09T00:00:00"/>
        <d v="2026-10-06T00:00:00"/>
        <d v="2026-04-12T00:00:00"/>
        <d v="2026-03-03T00:00:00"/>
        <d v="2026-05-20T00:00:00"/>
        <d v="2026-07-21T00:00:00"/>
      </sharedItems>
    </cacheField>
    <cacheField name="Amount" numFmtId="0">
      <sharedItems containsSemiMixedTypes="0" containsString="0" containsNumber="1" containsInteger="1" minValue="850" maxValue="12500"/>
    </cacheField>
    <cacheField name="Payment Menthod" numFmtId="0">
      <sharedItems count="4">
        <s v="UPI"/>
        <s v="Credit Card"/>
        <s v="Debit Card"/>
        <s v="Net Banking"/>
      </sharedItems>
    </cacheField>
    <cacheField name="Transcation status" numFmtId="0">
      <sharedItems count="2">
        <s v="Success"/>
        <s v="Failed"/>
      </sharedItems>
    </cacheField>
    <cacheField name="Failure Reason" numFmtId="0">
      <sharedItems containsBlank="1" count="3">
        <m/>
        <s v="Insufficient Balance"/>
        <s v="Technical Erro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1001"/>
    <x v="0"/>
    <x v="0"/>
    <x v="0"/>
    <n v="4500"/>
    <x v="0"/>
    <x v="0"/>
    <x v="0"/>
  </r>
  <r>
    <n v="1002"/>
    <x v="1"/>
    <x v="1"/>
    <x v="1"/>
    <n v="850"/>
    <x v="1"/>
    <x v="0"/>
    <x v="0"/>
  </r>
  <r>
    <n v="1003"/>
    <x v="2"/>
    <x v="2"/>
    <x v="2"/>
    <n v="7200"/>
    <x v="0"/>
    <x v="1"/>
    <x v="1"/>
  </r>
  <r>
    <n v="1004"/>
    <x v="3"/>
    <x v="3"/>
    <x v="3"/>
    <n v="1200"/>
    <x v="2"/>
    <x v="0"/>
    <x v="0"/>
  </r>
  <r>
    <n v="1005"/>
    <x v="4"/>
    <x v="4"/>
    <x v="4"/>
    <n v="3500"/>
    <x v="3"/>
    <x v="0"/>
    <x v="0"/>
  </r>
  <r>
    <n v="1006"/>
    <x v="0"/>
    <x v="1"/>
    <x v="5"/>
    <n v="1800"/>
    <x v="0"/>
    <x v="1"/>
    <x v="2"/>
  </r>
  <r>
    <n v="1007"/>
    <x v="2"/>
    <x v="0"/>
    <x v="2"/>
    <n v="12500"/>
    <x v="1"/>
    <x v="0"/>
    <x v="0"/>
  </r>
  <r>
    <n v="1008"/>
    <x v="1"/>
    <x v="3"/>
    <x v="6"/>
    <n v="250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392F995-95ED-4288-B11E-0CB391D7131D}" name="PivotTable2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C8" firstHeaderRow="0" firstDataRow="1" firstDataCol="1"/>
  <pivotFields count="8">
    <pivotField dataField="1" compact="0" outline="0" showAll="0"/>
    <pivotField compact="0" outline="0" showAll="0"/>
    <pivotField compact="0" outline="0" showAll="0"/>
    <pivotField compact="0" numFmtId="22" outline="0" showAll="0"/>
    <pivotField dataField="1"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cation ID" fld="0" subtotal="count" baseField="0" baseItem="0"/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02F808-615C-40FB-9BBF-2B4450783C5D}" name="PivotTable3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Transcation ID" fld="0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9BAF4E-BB82-47D1-9789-7D364CD1EED4}" name="PivotTable4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6" firstHeaderRow="1" firstDataRow="1" firstDataCol="1"/>
  <pivotFields count="8">
    <pivotField compact="0" outline="0" showAll="0"/>
    <pivotField compact="0" outline="0" showAll="0"/>
    <pivotField compact="0" outline="0" showAll="0"/>
    <pivotField compact="0" numFmtId="22" outline="0" showAll="0"/>
    <pivotField dataField="1"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outline="0"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1D6272-F06C-45B4-AB21-803E2949AF2E}" name="PivotTable8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8"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Transcation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3669D4-E70D-4D35-8647-CC1DE4CF3229}" name="PivotTable9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8">
    <pivotField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5BAB73-C15E-4828-9CF9-53C0E6C5DD43}" name="PivotTable10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D10" firstHeaderRow="1" firstDataRow="2" firstDataCol="1"/>
  <pivotFields count="8">
    <pivotField dataField="1" compact="0" outline="0" showAll="0"/>
    <pivotField axis="axisRow" compact="0" outline="0" showAll="0">
      <items count="6">
        <item x="0"/>
        <item x="1"/>
        <item x="2"/>
        <item x="3"/>
        <item x="4"/>
        <item t="default"/>
      </items>
    </pivotField>
    <pivotField compact="0" outline="0" showAll="0"/>
    <pivotField compact="0" numFmtId="22" outline="0" showAll="0"/>
    <pivotField compact="0" outline="0" showAll="0"/>
    <pivotField compact="0" outline="0" showAll="0"/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Transcation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E53DB8-EF16-48C3-8D47-4603371F84D7}" name="PivotTable12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8">
    <pivotField dataField="1" compact="0" outline="0" showAll="0"/>
    <pivotField compact="0" outline="0" showAll="0"/>
    <pivotField compact="0" outline="0" showAll="0"/>
    <pivotField axis="axisRow" compact="0" numFmtId="22" outline="0" showAll="0">
      <items count="8">
        <item x="0"/>
        <item x="4"/>
        <item x="3"/>
        <item x="5"/>
        <item x="6"/>
        <item x="1"/>
        <item x="2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Transcation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60B0E4-7354-445F-9A05-F151ED0DC000}" name="PivotTable13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11" firstHeaderRow="1" firstDataRow="1" firstDataCol="1"/>
  <pivotFields count="8">
    <pivotField compact="0" outline="0" showAll="0"/>
    <pivotField compact="0" outline="0" showAll="0"/>
    <pivotField compact="0" outline="0" showAll="0"/>
    <pivotField axis="axisRow" compact="0" numFmtId="22" outline="0" showAll="0">
      <items count="8">
        <item x="0"/>
        <item x="4"/>
        <item x="3"/>
        <item x="5"/>
        <item x="6"/>
        <item x="1"/>
        <item x="2"/>
        <item t="default"/>
      </items>
    </pivotField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5A9133-3E3C-4828-AFEA-C3D806BF4BBD}" name="PivotTable14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3">
  <location ref="A3:D9" firstHeaderRow="1" firstDataRow="2" firstDataCol="1"/>
  <pivotFields count="8">
    <pivotField dataField="1"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axis="axisCol" compact="0" outline="0" showAll="0">
      <items count="3">
        <item x="1"/>
        <item x="0"/>
        <item t="default"/>
      </items>
    </pivotField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Transcation ID" fld="0" subtotal="count" baseField="0" baseItem="0"/>
  </dataFields>
  <chartFormats count="34"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1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3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3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4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6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6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9" format="2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9" format="3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0" format="4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0" format="5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1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1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22" format="8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2" format="9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1E074B-27EE-4BA6-B51E-CEAE732A16A5}" name="PivotTable15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8" firstHeaderRow="1" firstDataRow="1" firstDataCol="1"/>
  <pivotFields count="8">
    <pivotField compact="0" outline="0" showAll="0"/>
    <pivotField compact="0" outline="0" showAll="0"/>
    <pivotField compact="0" outline="0" showAll="0"/>
    <pivotField compact="0" numFmtId="22" outline="0" showAll="0"/>
    <pivotField dataField="1" compact="0" outline="0" showAll="0"/>
    <pivotField axis="axisRow" compact="0" outline="0" showAll="0">
      <items count="5">
        <item x="1"/>
        <item x="2"/>
        <item x="3"/>
        <item x="0"/>
        <item t="default"/>
      </items>
    </pivotField>
    <pivotField compact="0" outline="0" showAll="0"/>
    <pivotField compact="0" outline="0"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41FB52-F4D9-4B04-8E89-74AD7860C328}" name="PivotTable16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9" firstHeaderRow="1" firstDataRow="1" firstDataCol="1"/>
  <pivotFields count="8">
    <pivotField compact="0" outline="0" showAll="0"/>
    <pivotField axis="axisRow" compact="0" outline="0" showAll="0" sortType="descending">
      <items count="6">
        <item x="0"/>
        <item x="1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compact="0" outline="0" showAll="0"/>
  </pivotFields>
  <rowFields count="1">
    <field x="1"/>
  </rowFields>
  <rowItems count="6">
    <i>
      <x v="2"/>
    </i>
    <i>
      <x/>
    </i>
    <i>
      <x v="4"/>
    </i>
    <i>
      <x v="1"/>
    </i>
    <i>
      <x v="3"/>
    </i>
    <i t="grand">
      <x/>
    </i>
  </rowItems>
  <colItems count="1">
    <i/>
  </colItems>
  <dataFields count="1">
    <dataField name="Sum of Amount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FCB664-A194-44D1-84D5-136490132E81}" name="PivotTable18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6" firstHeaderRow="1" firstDataRow="1" firstDataCol="1"/>
  <pivotFields count="8">
    <pivotField compact="0" outline="0" showAll="0"/>
    <pivotField compact="0" outline="0" showAll="0"/>
    <pivotField compact="0" outline="0" showAll="0"/>
    <pivotField compact="0" numFmtId="22" outline="0" showAll="0"/>
    <pivotField dataField="1"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h="1" x="0"/>
        <item t="default"/>
      </items>
    </pivotField>
  </pivotFields>
  <rowFields count="1">
    <field x="7"/>
  </rowFields>
  <rowItems count="3">
    <i>
      <x/>
    </i>
    <i>
      <x v="1"/>
    </i>
    <i t="grand">
      <x/>
    </i>
  </rowItems>
  <colItems count="1">
    <i/>
  </colItems>
  <dataFields count="1">
    <dataField name="Sum of Amount" fld="4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1294AD-38B6-4EFA-AA8E-875AAEB201A6}" name="PivotTable5" cacheId="10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8">
    <pivotField dataField="1" compact="0" outline="0" showAll="0"/>
    <pivotField compact="0" outline="0" showAll="0"/>
    <pivotField compact="0" outline="0" showAll="0"/>
    <pivotField compact="0" numFmtId="22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Transcation ID" fld="0" subtotal="count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6A5596-F673-4A29-A191-BB36D17A0430}" name="Table1" displayName="Table1" ref="A1:I9" totalsRowShown="0">
  <autoFilter ref="A1:I9" xr:uid="{F26A5596-F673-4A29-A191-BB36D17A043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E5F5896-E290-4A69-B76B-05C6650B00F6}" name="Transcation ID"/>
    <tableColumn id="2" xr3:uid="{CEBF6A49-40C4-471C-8E57-67ABCA9AD76A}" name="customer ID"/>
    <tableColumn id="3" xr3:uid="{8B7B7183-AE81-49D9-B699-82611473A884}" name="Merchant ID"/>
    <tableColumn id="9" xr3:uid="{6B587ACD-5763-497F-8672-59D1492AE85F}" name="Merchant Name"/>
    <tableColumn id="4" xr3:uid="{E56306C2-AEC6-4D0D-BC27-1BC0F997BAB7}" name="Transcation Date" dataDxfId="0"/>
    <tableColumn id="5" xr3:uid="{092AD59F-35F9-453A-A525-9FB1C17822C5}" name="Amount"/>
    <tableColumn id="6" xr3:uid="{47FD4F18-0691-4BF4-827C-B825B4442452}" name="Payment Menthod"/>
    <tableColumn id="7" xr3:uid="{B849EAF2-A4B7-4DA5-82B5-7142FD4E3C1D}" name="Transcation status"/>
    <tableColumn id="8" xr3:uid="{8A2207EC-5F00-400C-8D28-6BCD43F26A0D}" name="Failure Reason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D70C-24FE-4ECC-9BA0-DCFB928C92BB}">
  <dimension ref="A3:C8"/>
  <sheetViews>
    <sheetView workbookViewId="0">
      <selection activeCell="A3" sqref="A3"/>
    </sheetView>
  </sheetViews>
  <sheetFormatPr defaultRowHeight="15"/>
  <cols>
    <col min="1" max="1" width="21.28515625" bestFit="1" customWidth="1"/>
    <col min="2" max="2" width="22.5703125" bestFit="1" customWidth="1"/>
    <col min="3" max="3" width="15.28515625" bestFit="1" customWidth="1"/>
  </cols>
  <sheetData>
    <row r="3" spans="1:3">
      <c r="A3" s="5" t="s">
        <v>0</v>
      </c>
      <c r="B3" t="s">
        <v>1</v>
      </c>
      <c r="C3" t="s">
        <v>2</v>
      </c>
    </row>
    <row r="4" spans="1:3">
      <c r="A4" t="s">
        <v>3</v>
      </c>
      <c r="B4" s="6">
        <v>2</v>
      </c>
      <c r="C4" s="6">
        <v>13350</v>
      </c>
    </row>
    <row r="5" spans="1:3">
      <c r="A5" t="s">
        <v>4</v>
      </c>
      <c r="B5" s="6">
        <v>1</v>
      </c>
      <c r="C5" s="6">
        <v>1200</v>
      </c>
    </row>
    <row r="6" spans="1:3">
      <c r="A6" t="s">
        <v>5</v>
      </c>
      <c r="B6" s="6">
        <v>1</v>
      </c>
      <c r="C6" s="6">
        <v>3500</v>
      </c>
    </row>
    <row r="7" spans="1:3">
      <c r="A7" t="s">
        <v>6</v>
      </c>
      <c r="B7" s="6">
        <v>4</v>
      </c>
      <c r="C7" s="6">
        <v>16000</v>
      </c>
    </row>
    <row r="8" spans="1:3">
      <c r="A8" t="s">
        <v>7</v>
      </c>
      <c r="B8" s="6">
        <v>8</v>
      </c>
      <c r="C8" s="6">
        <v>34050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949A-B2A5-4F1A-AC8D-56D046D5E9FC}">
  <dimension ref="A3:B6"/>
  <sheetViews>
    <sheetView workbookViewId="0">
      <selection activeCell="A3" sqref="A3"/>
    </sheetView>
  </sheetViews>
  <sheetFormatPr defaultRowHeight="15"/>
  <cols>
    <col min="1" max="1" width="20.85546875" bestFit="1" customWidth="1"/>
    <col min="2" max="2" width="21" bestFit="1" customWidth="1"/>
  </cols>
  <sheetData>
    <row r="3" spans="1:2">
      <c r="A3" s="5" t="s">
        <v>8</v>
      </c>
      <c r="B3" t="s">
        <v>9</v>
      </c>
    </row>
    <row r="4" spans="1:2">
      <c r="A4" t="s">
        <v>10</v>
      </c>
      <c r="B4" s="6">
        <v>2009</v>
      </c>
    </row>
    <row r="5" spans="1:2">
      <c r="A5" t="s">
        <v>11</v>
      </c>
      <c r="B5" s="6">
        <v>6027</v>
      </c>
    </row>
    <row r="6" spans="1:2">
      <c r="A6" t="s">
        <v>7</v>
      </c>
      <c r="B6" s="6">
        <v>8036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3BC2E-7603-4B0E-B37A-DADC132E4382}">
  <dimension ref="A3:B6"/>
  <sheetViews>
    <sheetView workbookViewId="0">
      <selection activeCell="A3" sqref="A3"/>
    </sheetView>
  </sheetViews>
  <sheetFormatPr defaultRowHeight="15"/>
  <cols>
    <col min="1" max="1" width="20.85546875" bestFit="1" customWidth="1"/>
    <col min="2" max="2" width="15.28515625" bestFit="1" customWidth="1"/>
  </cols>
  <sheetData>
    <row r="3" spans="1:2">
      <c r="A3" s="5" t="s">
        <v>8</v>
      </c>
      <c r="B3" t="s">
        <v>2</v>
      </c>
    </row>
    <row r="4" spans="1:2">
      <c r="A4" t="s">
        <v>10</v>
      </c>
      <c r="B4" s="6">
        <v>9000</v>
      </c>
    </row>
    <row r="5" spans="1:2">
      <c r="A5" t="s">
        <v>11</v>
      </c>
      <c r="B5" s="6">
        <v>25050</v>
      </c>
    </row>
    <row r="6" spans="1:2">
      <c r="A6" t="s">
        <v>7</v>
      </c>
      <c r="B6" s="6">
        <v>34050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A085E-9F50-48ED-B6CE-FE26DE50966C}">
  <dimension ref="A3:B9"/>
  <sheetViews>
    <sheetView workbookViewId="0">
      <selection activeCell="B8" sqref="B8"/>
    </sheetView>
  </sheetViews>
  <sheetFormatPr defaultRowHeight="15"/>
  <cols>
    <col min="1" max="1" width="15.140625" bestFit="1" customWidth="1"/>
    <col min="2" max="2" width="22.5703125" bestFit="1" customWidth="1"/>
  </cols>
  <sheetData>
    <row r="3" spans="1:2">
      <c r="A3" s="5" t="s">
        <v>12</v>
      </c>
      <c r="B3" t="s">
        <v>1</v>
      </c>
    </row>
    <row r="4" spans="1:2">
      <c r="A4">
        <v>1</v>
      </c>
      <c r="B4" s="6">
        <v>2</v>
      </c>
    </row>
    <row r="5" spans="1:2">
      <c r="A5">
        <v>2</v>
      </c>
      <c r="B5" s="6">
        <v>2</v>
      </c>
    </row>
    <row r="6" spans="1:2">
      <c r="A6">
        <v>3</v>
      </c>
      <c r="B6" s="6">
        <v>2</v>
      </c>
    </row>
    <row r="7" spans="1:2">
      <c r="A7">
        <v>4</v>
      </c>
      <c r="B7" s="6">
        <v>1</v>
      </c>
    </row>
    <row r="8" spans="1:2">
      <c r="A8">
        <v>5</v>
      </c>
      <c r="B8" s="6">
        <v>1</v>
      </c>
    </row>
    <row r="9" spans="1:2">
      <c r="A9" t="s">
        <v>7</v>
      </c>
      <c r="B9" s="6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D44C9-6824-47CF-A10E-A64C7F5298A4}">
  <dimension ref="A3:B9"/>
  <sheetViews>
    <sheetView workbookViewId="0">
      <selection activeCell="A3" sqref="A3"/>
    </sheetView>
  </sheetViews>
  <sheetFormatPr defaultRowHeight="15"/>
  <cols>
    <col min="1" max="1" width="15.140625" bestFit="1" customWidth="1"/>
    <col min="2" max="2" width="15.28515625" bestFit="1" customWidth="1"/>
  </cols>
  <sheetData>
    <row r="3" spans="1:2">
      <c r="A3" s="5" t="s">
        <v>12</v>
      </c>
      <c r="B3" t="s">
        <v>2</v>
      </c>
    </row>
    <row r="4" spans="1:2">
      <c r="A4">
        <v>1</v>
      </c>
      <c r="B4" s="6">
        <v>6300</v>
      </c>
    </row>
    <row r="5" spans="1:2">
      <c r="A5">
        <v>2</v>
      </c>
      <c r="B5" s="6">
        <v>3350</v>
      </c>
    </row>
    <row r="6" spans="1:2">
      <c r="A6">
        <v>3</v>
      </c>
      <c r="B6" s="6">
        <v>19700</v>
      </c>
    </row>
    <row r="7" spans="1:2">
      <c r="A7">
        <v>4</v>
      </c>
      <c r="B7" s="6">
        <v>1200</v>
      </c>
    </row>
    <row r="8" spans="1:2">
      <c r="A8">
        <v>5</v>
      </c>
      <c r="B8" s="6">
        <v>3500</v>
      </c>
    </row>
    <row r="9" spans="1:2">
      <c r="A9" t="s">
        <v>7</v>
      </c>
      <c r="B9" s="6">
        <v>34050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D00D9-2FE2-4476-9482-EEF9778C0E9E}">
  <dimension ref="A3:D10"/>
  <sheetViews>
    <sheetView workbookViewId="0">
      <selection activeCell="E4" sqref="E4"/>
    </sheetView>
  </sheetViews>
  <sheetFormatPr defaultRowHeight="15"/>
  <cols>
    <col min="1" max="1" width="22.5703125" bestFit="1" customWidth="1"/>
    <col min="2" max="2" width="20.85546875" bestFit="1" customWidth="1"/>
    <col min="3" max="3" width="7.85546875" bestFit="1" customWidth="1"/>
    <col min="4" max="4" width="11.7109375" bestFit="1" customWidth="1"/>
    <col min="5" max="5" width="11.42578125" customWidth="1"/>
    <col min="6" max="6" width="12.5703125" customWidth="1"/>
    <col min="7" max="7" width="13.7109375" customWidth="1"/>
  </cols>
  <sheetData>
    <row r="3" spans="1:4">
      <c r="A3" s="5" t="s">
        <v>1</v>
      </c>
      <c r="B3" s="5" t="s">
        <v>8</v>
      </c>
    </row>
    <row r="4" spans="1:4">
      <c r="A4" s="5" t="s">
        <v>12</v>
      </c>
      <c r="B4" t="s">
        <v>10</v>
      </c>
      <c r="C4" t="s">
        <v>11</v>
      </c>
      <c r="D4" t="s">
        <v>7</v>
      </c>
    </row>
    <row r="5" spans="1:4">
      <c r="A5">
        <v>1</v>
      </c>
      <c r="B5" s="6">
        <v>1</v>
      </c>
      <c r="C5" s="6">
        <v>1</v>
      </c>
      <c r="D5" s="6">
        <v>2</v>
      </c>
    </row>
    <row r="6" spans="1:4">
      <c r="A6">
        <v>2</v>
      </c>
      <c r="B6" s="6"/>
      <c r="C6" s="6">
        <v>2</v>
      </c>
      <c r="D6" s="6">
        <v>2</v>
      </c>
    </row>
    <row r="7" spans="1:4">
      <c r="A7">
        <v>3</v>
      </c>
      <c r="B7" s="6">
        <v>1</v>
      </c>
      <c r="C7" s="6">
        <v>1</v>
      </c>
      <c r="D7" s="6">
        <v>2</v>
      </c>
    </row>
    <row r="8" spans="1:4">
      <c r="A8">
        <v>4</v>
      </c>
      <c r="B8" s="6"/>
      <c r="C8" s="6">
        <v>1</v>
      </c>
      <c r="D8" s="6">
        <v>1</v>
      </c>
    </row>
    <row r="9" spans="1:4">
      <c r="A9">
        <v>5</v>
      </c>
      <c r="B9" s="6"/>
      <c r="C9" s="6">
        <v>1</v>
      </c>
      <c r="D9" s="6">
        <v>1</v>
      </c>
    </row>
    <row r="10" spans="1:4">
      <c r="A10" t="s">
        <v>7</v>
      </c>
      <c r="B10" s="6">
        <v>2</v>
      </c>
      <c r="C10" s="6">
        <v>6</v>
      </c>
      <c r="D10" s="6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5909A5-3847-4057-9E44-BEC2575FA11A}">
  <dimension ref="A3:B11"/>
  <sheetViews>
    <sheetView workbookViewId="0">
      <selection activeCell="A3" sqref="A3"/>
    </sheetView>
  </sheetViews>
  <sheetFormatPr defaultRowHeight="15"/>
  <cols>
    <col min="1" max="1" width="19.5703125" bestFit="1" customWidth="1"/>
    <col min="2" max="2" width="22.5703125" bestFit="1" customWidth="1"/>
  </cols>
  <sheetData>
    <row r="3" spans="1:2">
      <c r="A3" s="5" t="s">
        <v>13</v>
      </c>
      <c r="B3" t="s">
        <v>1</v>
      </c>
    </row>
    <row r="4" spans="1:2">
      <c r="A4" s="1">
        <v>46082</v>
      </c>
      <c r="B4" s="6">
        <v>1</v>
      </c>
    </row>
    <row r="5" spans="1:2">
      <c r="A5" s="1">
        <v>46084</v>
      </c>
      <c r="B5" s="6">
        <v>1</v>
      </c>
    </row>
    <row r="6" spans="1:2">
      <c r="A6" s="1">
        <v>46124</v>
      </c>
      <c r="B6" s="6">
        <v>1</v>
      </c>
    </row>
    <row r="7" spans="1:2">
      <c r="A7" s="1">
        <v>46162</v>
      </c>
      <c r="B7" s="6">
        <v>1</v>
      </c>
    </row>
    <row r="8" spans="1:2">
      <c r="A8" s="1">
        <v>46224</v>
      </c>
      <c r="B8" s="6">
        <v>1</v>
      </c>
    </row>
    <row r="9" spans="1:2">
      <c r="A9" s="1">
        <v>46274</v>
      </c>
      <c r="B9" s="6">
        <v>1</v>
      </c>
    </row>
    <row r="10" spans="1:2">
      <c r="A10" s="1">
        <v>46301</v>
      </c>
      <c r="B10" s="6">
        <v>2</v>
      </c>
    </row>
    <row r="11" spans="1:2">
      <c r="A11" s="1" t="s">
        <v>7</v>
      </c>
      <c r="B11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BEC35-340C-491B-8B4D-F9C8A71AEC05}">
  <dimension ref="A3:B11"/>
  <sheetViews>
    <sheetView workbookViewId="0">
      <selection activeCell="A3" sqref="A3"/>
    </sheetView>
  </sheetViews>
  <sheetFormatPr defaultRowHeight="15"/>
  <cols>
    <col min="1" max="1" width="19.5703125" bestFit="1" customWidth="1"/>
    <col min="2" max="2" width="15.28515625" bestFit="1" customWidth="1"/>
  </cols>
  <sheetData>
    <row r="3" spans="1:2">
      <c r="A3" s="5" t="s">
        <v>13</v>
      </c>
      <c r="B3" t="s">
        <v>2</v>
      </c>
    </row>
    <row r="4" spans="1:2">
      <c r="A4" s="1">
        <v>46082</v>
      </c>
      <c r="B4" s="6">
        <v>4500</v>
      </c>
    </row>
    <row r="5" spans="1:2">
      <c r="A5" s="1">
        <v>46084</v>
      </c>
      <c r="B5" s="6">
        <v>3500</v>
      </c>
    </row>
    <row r="6" spans="1:2">
      <c r="A6" s="1">
        <v>46124</v>
      </c>
      <c r="B6" s="6">
        <v>1200</v>
      </c>
    </row>
    <row r="7" spans="1:2">
      <c r="A7" s="1">
        <v>46162</v>
      </c>
      <c r="B7" s="6">
        <v>1800</v>
      </c>
    </row>
    <row r="8" spans="1:2">
      <c r="A8" s="1">
        <v>46224</v>
      </c>
      <c r="B8" s="6">
        <v>2500</v>
      </c>
    </row>
    <row r="9" spans="1:2">
      <c r="A9" s="1">
        <v>46274</v>
      </c>
      <c r="B9" s="6">
        <v>850</v>
      </c>
    </row>
    <row r="10" spans="1:2">
      <c r="A10" s="1">
        <v>46301</v>
      </c>
      <c r="B10" s="6">
        <v>19700</v>
      </c>
    </row>
    <row r="11" spans="1:2">
      <c r="A11" s="1" t="s">
        <v>7</v>
      </c>
      <c r="B11" s="6">
        <v>34050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3771-AAF0-4113-99FA-A6213DA12FAD}">
  <dimension ref="A3:D9"/>
  <sheetViews>
    <sheetView topLeftCell="A19" workbookViewId="0">
      <selection activeCell="K30" sqref="K30"/>
    </sheetView>
  </sheetViews>
  <sheetFormatPr defaultRowHeight="15"/>
  <cols>
    <col min="1" max="1" width="22.5703125" bestFit="1" customWidth="1"/>
    <col min="2" max="2" width="20.85546875" bestFit="1" customWidth="1"/>
    <col min="3" max="3" width="7.85546875" bestFit="1" customWidth="1"/>
    <col min="4" max="4" width="11.7109375" bestFit="1" customWidth="1"/>
  </cols>
  <sheetData>
    <row r="3" spans="1:4">
      <c r="A3" s="5" t="s">
        <v>1</v>
      </c>
      <c r="B3" s="5" t="s">
        <v>8</v>
      </c>
    </row>
    <row r="4" spans="1:4">
      <c r="A4" s="5" t="s">
        <v>0</v>
      </c>
      <c r="B4" t="s">
        <v>10</v>
      </c>
      <c r="C4" t="s">
        <v>11</v>
      </c>
      <c r="D4" t="s">
        <v>7</v>
      </c>
    </row>
    <row r="5" spans="1:4">
      <c r="A5" t="s">
        <v>3</v>
      </c>
      <c r="B5" s="6"/>
      <c r="C5" s="6">
        <v>2</v>
      </c>
      <c r="D5" s="6">
        <v>2</v>
      </c>
    </row>
    <row r="6" spans="1:4">
      <c r="A6" t="s">
        <v>4</v>
      </c>
      <c r="B6" s="6"/>
      <c r="C6" s="6">
        <v>1</v>
      </c>
      <c r="D6" s="6">
        <v>1</v>
      </c>
    </row>
    <row r="7" spans="1:4">
      <c r="A7" t="s">
        <v>5</v>
      </c>
      <c r="B7" s="6"/>
      <c r="C7" s="6">
        <v>1</v>
      </c>
      <c r="D7" s="6">
        <v>1</v>
      </c>
    </row>
    <row r="8" spans="1:4">
      <c r="A8" t="s">
        <v>6</v>
      </c>
      <c r="B8" s="6">
        <v>2</v>
      </c>
      <c r="C8" s="6">
        <v>2</v>
      </c>
      <c r="D8" s="6">
        <v>4</v>
      </c>
    </row>
    <row r="9" spans="1:4">
      <c r="A9" t="s">
        <v>7</v>
      </c>
      <c r="B9" s="6">
        <v>2</v>
      </c>
      <c r="C9" s="6">
        <v>6</v>
      </c>
      <c r="D9" s="6">
        <v>8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86A95-745C-468A-BF97-463192660378}">
  <dimension ref="A1"/>
  <sheetViews>
    <sheetView tabSelected="1" workbookViewId="0">
      <selection activeCell="J32" sqref="J32"/>
    </sheetView>
  </sheetViews>
  <sheetFormatPr defaultRowHeight="1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99162-953C-482F-AEC0-0DDBBAE94A1A}">
  <dimension ref="A3:B8"/>
  <sheetViews>
    <sheetView workbookViewId="0">
      <selection activeCell="K10" sqref="K10"/>
    </sheetView>
  </sheetViews>
  <sheetFormatPr defaultRowHeight="15"/>
  <cols>
    <col min="1" max="1" width="21.28515625" bestFit="1" customWidth="1"/>
    <col min="2" max="2" width="15.28515625" bestFit="1" customWidth="1"/>
  </cols>
  <sheetData>
    <row r="3" spans="1:2">
      <c r="A3" s="5" t="s">
        <v>0</v>
      </c>
      <c r="B3" t="s">
        <v>2</v>
      </c>
    </row>
    <row r="4" spans="1:2">
      <c r="A4" t="s">
        <v>3</v>
      </c>
      <c r="B4" s="6">
        <v>13350</v>
      </c>
    </row>
    <row r="5" spans="1:2">
      <c r="A5" t="s">
        <v>4</v>
      </c>
      <c r="B5" s="6">
        <v>1200</v>
      </c>
    </row>
    <row r="6" spans="1:2">
      <c r="A6" t="s">
        <v>5</v>
      </c>
      <c r="B6" s="6">
        <v>3500</v>
      </c>
    </row>
    <row r="7" spans="1:2">
      <c r="A7" t="s">
        <v>6</v>
      </c>
      <c r="B7" s="6">
        <v>16000</v>
      </c>
    </row>
    <row r="8" spans="1:2">
      <c r="A8" t="s">
        <v>7</v>
      </c>
      <c r="B8" s="6">
        <v>34050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9D74-15A1-4915-B173-C222F4AC48D8}">
  <dimension ref="A3:B9"/>
  <sheetViews>
    <sheetView workbookViewId="0">
      <selection activeCell="A3" sqref="A3:B9"/>
    </sheetView>
  </sheetViews>
  <sheetFormatPr defaultRowHeight="15"/>
  <cols>
    <col min="1" max="1" width="15.140625" bestFit="1" customWidth="1"/>
    <col min="2" max="2" width="15.28515625" bestFit="1" customWidth="1"/>
  </cols>
  <sheetData>
    <row r="3" spans="1:2">
      <c r="A3" s="5" t="s">
        <v>12</v>
      </c>
      <c r="B3" t="s">
        <v>2</v>
      </c>
    </row>
    <row r="4" spans="1:2">
      <c r="A4">
        <v>3</v>
      </c>
      <c r="B4" s="6">
        <v>19700</v>
      </c>
    </row>
    <row r="5" spans="1:2">
      <c r="A5">
        <v>1</v>
      </c>
      <c r="B5" s="6">
        <v>6300</v>
      </c>
    </row>
    <row r="6" spans="1:2">
      <c r="A6">
        <v>5</v>
      </c>
      <c r="B6" s="6">
        <v>3500</v>
      </c>
    </row>
    <row r="7" spans="1:2">
      <c r="A7">
        <v>2</v>
      </c>
      <c r="B7" s="6">
        <v>3350</v>
      </c>
    </row>
    <row r="8" spans="1:2">
      <c r="A8">
        <v>4</v>
      </c>
      <c r="B8" s="6">
        <v>1200</v>
      </c>
    </row>
    <row r="9" spans="1:2">
      <c r="A9" t="s">
        <v>7</v>
      </c>
      <c r="B9" s="6">
        <v>34050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CB8D9-18BE-4974-B3DC-592785ABC906}">
  <dimension ref="A3:B6"/>
  <sheetViews>
    <sheetView workbookViewId="0">
      <selection activeCell="L13" sqref="L13"/>
    </sheetView>
  </sheetViews>
  <sheetFormatPr defaultRowHeight="15"/>
  <cols>
    <col min="1" max="1" width="18.42578125" bestFit="1" customWidth="1"/>
    <col min="2" max="2" width="15.28515625" bestFit="1" customWidth="1"/>
  </cols>
  <sheetData>
    <row r="3" spans="1:2">
      <c r="A3" s="5" t="s">
        <v>14</v>
      </c>
      <c r="B3" t="s">
        <v>2</v>
      </c>
    </row>
    <row r="4" spans="1:2">
      <c r="A4" t="s">
        <v>15</v>
      </c>
      <c r="B4" s="6">
        <v>7200</v>
      </c>
    </row>
    <row r="5" spans="1:2">
      <c r="A5" t="s">
        <v>16</v>
      </c>
      <c r="B5" s="6">
        <v>1800</v>
      </c>
    </row>
    <row r="6" spans="1:2">
      <c r="A6" t="s">
        <v>7</v>
      </c>
      <c r="B6" s="6">
        <v>9000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B1F48-426E-40D6-9973-1CE59780C231}">
  <dimension ref="A1:B5"/>
  <sheetViews>
    <sheetView workbookViewId="0">
      <selection activeCell="E15" sqref="E15"/>
    </sheetView>
  </sheetViews>
  <sheetFormatPr defaultRowHeight="15"/>
  <cols>
    <col min="1" max="1" width="27.5703125" customWidth="1"/>
  </cols>
  <sheetData>
    <row r="1" spans="1:2">
      <c r="A1" s="8" t="s">
        <v>17</v>
      </c>
      <c r="B1" s="8" t="s">
        <v>18</v>
      </c>
    </row>
    <row r="2" spans="1:2">
      <c r="A2" s="7" t="s">
        <v>19</v>
      </c>
      <c r="B2" s="7">
        <v>8</v>
      </c>
    </row>
    <row r="3" spans="1:2">
      <c r="A3" s="7" t="s">
        <v>20</v>
      </c>
      <c r="B3" s="7">
        <v>34050</v>
      </c>
    </row>
    <row r="4" spans="1:2">
      <c r="A4" s="7" t="s">
        <v>21</v>
      </c>
      <c r="B4" s="7">
        <v>6</v>
      </c>
    </row>
    <row r="5" spans="1:2">
      <c r="A5" s="7" t="s">
        <v>22</v>
      </c>
      <c r="B5" s="7">
        <v>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workbookViewId="0">
      <selection sqref="A1:J9"/>
    </sheetView>
  </sheetViews>
  <sheetFormatPr defaultRowHeight="15"/>
  <cols>
    <col min="1" max="1" width="16.42578125" bestFit="1" customWidth="1"/>
    <col min="2" max="2" width="14.28515625" bestFit="1" customWidth="1"/>
    <col min="3" max="3" width="14.5703125" bestFit="1" customWidth="1"/>
    <col min="4" max="4" width="18.7109375" bestFit="1" customWidth="1"/>
    <col min="5" max="5" width="20.140625" customWidth="1"/>
    <col min="6" max="6" width="20.42578125" bestFit="1" customWidth="1"/>
    <col min="7" max="7" width="21.85546875" customWidth="1"/>
    <col min="8" max="8" width="20.140625" customWidth="1"/>
    <col min="9" max="9" width="18.42578125" customWidth="1"/>
  </cols>
  <sheetData>
    <row r="1" spans="1:9">
      <c r="A1" t="s">
        <v>23</v>
      </c>
      <c r="B1" t="s">
        <v>12</v>
      </c>
      <c r="C1" t="s">
        <v>24</v>
      </c>
      <c r="D1" t="s">
        <v>25</v>
      </c>
      <c r="E1" t="s">
        <v>13</v>
      </c>
      <c r="F1" t="s">
        <v>26</v>
      </c>
      <c r="G1" t="s">
        <v>0</v>
      </c>
      <c r="H1" t="s">
        <v>8</v>
      </c>
      <c r="I1" t="s">
        <v>14</v>
      </c>
    </row>
    <row r="2" spans="1:9">
      <c r="A2">
        <v>1001</v>
      </c>
      <c r="B2">
        <v>1</v>
      </c>
      <c r="C2">
        <v>101</v>
      </c>
      <c r="D2" t="s">
        <v>27</v>
      </c>
      <c r="E2" s="1">
        <v>46082</v>
      </c>
      <c r="F2">
        <v>4500</v>
      </c>
      <c r="G2" t="s">
        <v>6</v>
      </c>
      <c r="H2" t="s">
        <v>11</v>
      </c>
    </row>
    <row r="3" spans="1:9">
      <c r="A3">
        <v>1002</v>
      </c>
      <c r="B3">
        <v>2</v>
      </c>
      <c r="C3">
        <v>102</v>
      </c>
      <c r="D3" t="s">
        <v>28</v>
      </c>
      <c r="E3" s="1">
        <v>46274</v>
      </c>
      <c r="F3">
        <v>850</v>
      </c>
      <c r="G3" t="s">
        <v>3</v>
      </c>
      <c r="H3" t="s">
        <v>11</v>
      </c>
    </row>
    <row r="4" spans="1:9">
      <c r="A4">
        <v>1003</v>
      </c>
      <c r="B4">
        <v>3</v>
      </c>
      <c r="C4">
        <v>103</v>
      </c>
      <c r="D4" t="s">
        <v>29</v>
      </c>
      <c r="E4" s="1">
        <v>46301</v>
      </c>
      <c r="F4">
        <v>7200</v>
      </c>
      <c r="G4" t="s">
        <v>6</v>
      </c>
      <c r="H4" t="s">
        <v>10</v>
      </c>
      <c r="I4" t="s">
        <v>15</v>
      </c>
    </row>
    <row r="5" spans="1:9">
      <c r="A5">
        <v>1004</v>
      </c>
      <c r="B5">
        <v>4</v>
      </c>
      <c r="C5">
        <v>104</v>
      </c>
      <c r="D5" t="s">
        <v>30</v>
      </c>
      <c r="E5" s="1">
        <v>46124</v>
      </c>
      <c r="F5">
        <v>1200</v>
      </c>
      <c r="G5" t="s">
        <v>4</v>
      </c>
      <c r="H5" t="s">
        <v>11</v>
      </c>
    </row>
    <row r="6" spans="1:9">
      <c r="A6">
        <v>1005</v>
      </c>
      <c r="B6">
        <v>5</v>
      </c>
      <c r="C6">
        <v>105</v>
      </c>
      <c r="D6" t="s">
        <v>31</v>
      </c>
      <c r="E6" s="1">
        <v>46084</v>
      </c>
      <c r="F6">
        <v>3500</v>
      </c>
      <c r="G6" t="s">
        <v>5</v>
      </c>
      <c r="H6" t="s">
        <v>11</v>
      </c>
    </row>
    <row r="7" spans="1:9">
      <c r="A7">
        <v>1006</v>
      </c>
      <c r="B7">
        <v>1</v>
      </c>
      <c r="C7">
        <v>102</v>
      </c>
      <c r="D7" t="s">
        <v>28</v>
      </c>
      <c r="E7" s="1">
        <v>46162</v>
      </c>
      <c r="F7">
        <v>1800</v>
      </c>
      <c r="G7" t="s">
        <v>6</v>
      </c>
      <c r="H7" t="s">
        <v>10</v>
      </c>
      <c r="I7" t="s">
        <v>16</v>
      </c>
    </row>
    <row r="8" spans="1:9">
      <c r="A8">
        <v>1007</v>
      </c>
      <c r="B8">
        <v>3</v>
      </c>
      <c r="C8">
        <v>101</v>
      </c>
      <c r="D8" t="s">
        <v>27</v>
      </c>
      <c r="E8" s="1">
        <v>46301</v>
      </c>
      <c r="F8">
        <v>12500</v>
      </c>
      <c r="G8" t="s">
        <v>3</v>
      </c>
      <c r="H8" t="s">
        <v>11</v>
      </c>
    </row>
    <row r="9" spans="1:9">
      <c r="A9">
        <v>1008</v>
      </c>
      <c r="B9">
        <v>2</v>
      </c>
      <c r="C9">
        <v>104</v>
      </c>
      <c r="D9" t="s">
        <v>30</v>
      </c>
      <c r="E9" s="1">
        <v>46224</v>
      </c>
      <c r="F9">
        <v>2500</v>
      </c>
      <c r="G9" t="s">
        <v>6</v>
      </c>
      <c r="H9" t="s">
        <v>11</v>
      </c>
    </row>
    <row r="11" spans="1:9">
      <c r="A11" s="10" t="s">
        <v>32</v>
      </c>
      <c r="B11" s="11"/>
      <c r="E11" s="10" t="s">
        <v>33</v>
      </c>
      <c r="F11" s="11"/>
    </row>
    <row r="12" spans="1:9">
      <c r="A12" s="12">
        <f>COUNTA(Table1[Transcation ID])</f>
        <v>8</v>
      </c>
      <c r="B12" s="13"/>
      <c r="E12" s="12">
        <f>SUM(Table1[Amount])</f>
        <v>34050</v>
      </c>
      <c r="F12" s="13"/>
    </row>
    <row r="13" spans="1:9">
      <c r="G13" s="2" t="s">
        <v>34</v>
      </c>
    </row>
    <row r="14" spans="1:9">
      <c r="G14" s="3">
        <f>COUNTIF(Table1[Transcation status],"success")</f>
        <v>6</v>
      </c>
    </row>
    <row r="16" spans="1:9">
      <c r="B16" cm="1">
        <f t="array" aca="1" ref="B16" ca="1">A12:G17*100</f>
        <v>0</v>
      </c>
      <c r="G16" s="4" t="s">
        <v>35</v>
      </c>
    </row>
    <row r="17" spans="3:7">
      <c r="G17" s="3">
        <f>COUNTIF(Table1[Transcation status],"Failed")</f>
        <v>2</v>
      </c>
    </row>
    <row r="22" spans="3:7">
      <c r="C22" t="s">
        <v>36</v>
      </c>
    </row>
    <row r="23" spans="3:7">
      <c r="C23" t="s">
        <v>37</v>
      </c>
    </row>
  </sheetData>
  <mergeCells count="4">
    <mergeCell ref="E11:F11"/>
    <mergeCell ref="E12:F12"/>
    <mergeCell ref="A11:B11"/>
    <mergeCell ref="A12:B12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7FB9C-D31A-4480-8039-044F85842A34}">
  <dimension ref="A1:B6"/>
  <sheetViews>
    <sheetView topLeftCell="A24" workbookViewId="0">
      <selection activeCell="H44" sqref="H44"/>
    </sheetView>
  </sheetViews>
  <sheetFormatPr defaultRowHeight="15"/>
  <cols>
    <col min="1" max="1" width="16.140625" customWidth="1"/>
    <col min="2" max="2" width="14.7109375" customWidth="1"/>
  </cols>
  <sheetData>
    <row r="1" spans="1:2">
      <c r="A1" s="9" t="s">
        <v>25</v>
      </c>
      <c r="B1" s="9" t="s">
        <v>38</v>
      </c>
    </row>
    <row r="2" spans="1:2">
      <c r="A2" s="7" t="s">
        <v>27</v>
      </c>
      <c r="B2" s="7">
        <f>SUMIF(Transcation_Data!$D$2:$D$9,A2,Transcation_Data!$F$2:$F$9)</f>
        <v>17000</v>
      </c>
    </row>
    <row r="3" spans="1:2">
      <c r="A3" s="7" t="s">
        <v>28</v>
      </c>
      <c r="B3" s="7">
        <f>SUMIF(Transcation_Data!$D$2:$D$9,A3,Transcation_Data!$F$2:$F$9)</f>
        <v>2650</v>
      </c>
    </row>
    <row r="4" spans="1:2">
      <c r="A4" s="7" t="s">
        <v>29</v>
      </c>
      <c r="B4" s="7">
        <f>SUMIF(Transcation_Data!$D$2:$D$9,A4,Transcation_Data!$F$2:$F$9)</f>
        <v>7200</v>
      </c>
    </row>
    <row r="5" spans="1:2">
      <c r="A5" s="7" t="s">
        <v>30</v>
      </c>
      <c r="B5" s="7">
        <f>SUMIF(Transcation_Data!$D$2:$D$9,A5,Transcation_Data!$F$2:$F$9)</f>
        <v>3700</v>
      </c>
    </row>
    <row r="6" spans="1:2">
      <c r="A6" s="7" t="s">
        <v>31</v>
      </c>
      <c r="B6" s="7">
        <f>SUMIF(Transcation_Data!$D$2:$D$9,A6,Transcation_Data!$F$2:$F$9)</f>
        <v>3500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6C866-CA26-406E-A10A-CD4C09E029AB}">
  <dimension ref="A1:B6"/>
  <sheetViews>
    <sheetView workbookViewId="0">
      <selection activeCell="C14" sqref="C14"/>
    </sheetView>
  </sheetViews>
  <sheetFormatPr defaultRowHeight="15"/>
  <cols>
    <col min="1" max="1" width="16.7109375" customWidth="1"/>
    <col min="2" max="2" width="19" customWidth="1"/>
  </cols>
  <sheetData>
    <row r="1" spans="1:2">
      <c r="A1" s="9" t="s">
        <v>25</v>
      </c>
      <c r="B1" s="9" t="s">
        <v>39</v>
      </c>
    </row>
    <row r="2" spans="1:2">
      <c r="A2" s="7" t="s">
        <v>27</v>
      </c>
      <c r="B2" s="7">
        <f>SUMIF(Transcation_Data!$D$2:$D$9,A2,Transcation_Data!$F$2:$F$9)</f>
        <v>17000</v>
      </c>
    </row>
    <row r="3" spans="1:2">
      <c r="A3" s="7" t="s">
        <v>28</v>
      </c>
      <c r="B3" s="7">
        <f>SUMIF(Transcation_Data!$D$2:$D$9,A3,Transcation_Data!$F$2:$F$9)</f>
        <v>2650</v>
      </c>
    </row>
    <row r="4" spans="1:2">
      <c r="A4" s="7" t="s">
        <v>29</v>
      </c>
      <c r="B4" s="7">
        <f>SUMIF(Transcation_Data!$D$2:$D$9,A4,Transcation_Data!$F$2:$F$9)</f>
        <v>7200</v>
      </c>
    </row>
    <row r="5" spans="1:2">
      <c r="A5" s="7" t="s">
        <v>30</v>
      </c>
      <c r="B5" s="7">
        <f>SUMIF(Transcation_Data!$D$2:$D$9,A5,Transcation_Data!$F$2:$F$9)</f>
        <v>3700</v>
      </c>
    </row>
    <row r="6" spans="1:2">
      <c r="A6" s="7" t="s">
        <v>31</v>
      </c>
      <c r="B6" s="7">
        <f>SUMIF(Transcation_Data!$D$2:$D$9,A6,Transcation_Data!$F$2:$F$9)</f>
        <v>3500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AC367-251E-4ADB-9C4F-5382BACE71F8}">
  <dimension ref="A1:C6"/>
  <sheetViews>
    <sheetView workbookViewId="0">
      <selection activeCell="D9" sqref="D9"/>
    </sheetView>
  </sheetViews>
  <sheetFormatPr defaultRowHeight="15"/>
  <cols>
    <col min="1" max="1" width="18.85546875" customWidth="1"/>
    <col min="2" max="2" width="13.7109375" customWidth="1"/>
    <col min="3" max="3" width="17.140625" customWidth="1"/>
  </cols>
  <sheetData>
    <row r="1" spans="1:3">
      <c r="A1" s="9" t="s">
        <v>25</v>
      </c>
      <c r="B1" s="9" t="s">
        <v>40</v>
      </c>
      <c r="C1" s="9" t="s">
        <v>41</v>
      </c>
    </row>
    <row r="2" spans="1:3">
      <c r="A2" s="7" t="s">
        <v>27</v>
      </c>
      <c r="B2" s="7">
        <f>COUNTIFS(Transcation_Data!$D$2:$D$9,A2,Transcation_Data!$H$2:$H$9,"Success")</f>
        <v>2</v>
      </c>
      <c r="C2" s="7">
        <f>COUNTIFS(Transcation_Data!$D$2:$D$9,A2,Transcation_Data!$H$2:$H$9,"Failed")</f>
        <v>0</v>
      </c>
    </row>
    <row r="3" spans="1:3">
      <c r="A3" s="7" t="s">
        <v>28</v>
      </c>
      <c r="B3" s="7">
        <f>COUNTIFS(Transcation_Data!$D$2:$D$9,A3,Transcation_Data!$H$2:$H$9,"Success")</f>
        <v>1</v>
      </c>
      <c r="C3" s="7">
        <f>COUNTIFS(Transcation_Data!$D$2:$D$9,A3,Transcation_Data!$H$2:$H$9,"Failed")</f>
        <v>1</v>
      </c>
    </row>
    <row r="4" spans="1:3">
      <c r="A4" s="7" t="s">
        <v>29</v>
      </c>
      <c r="B4" s="7">
        <f>COUNTIFS(Transcation_Data!$D$2:$D$9,A4,Transcation_Data!$H$2:$H$9,"Success")</f>
        <v>0</v>
      </c>
      <c r="C4" s="7">
        <f>COUNTIFS(Transcation_Data!$D$2:$D$9,A4,Transcation_Data!$H$2:$H$9,"Failed")</f>
        <v>1</v>
      </c>
    </row>
    <row r="5" spans="1:3">
      <c r="A5" s="7" t="s">
        <v>30</v>
      </c>
      <c r="B5" s="7">
        <f>COUNTIFS(Transcation_Data!$D$2:$D$9,A5,Transcation_Data!$H$2:$H$9,"Success")</f>
        <v>2</v>
      </c>
      <c r="C5" s="7">
        <f>COUNTIFS(Transcation_Data!$D$2:$D$9,A5,Transcation_Data!$H$2:$H$9,"Failed")</f>
        <v>0</v>
      </c>
    </row>
    <row r="6" spans="1:3">
      <c r="A6" s="7" t="s">
        <v>31</v>
      </c>
      <c r="B6" s="7">
        <f>COUNTIFS(Transcation_Data!$D$2:$D$9,A6,Transcation_Data!$H$2:$H$9,"Success")</f>
        <v>1</v>
      </c>
      <c r="C6" s="7">
        <f>COUNTIFS(Transcation_Data!$D$2:$D$9,A6,Transcation_Data!$H$2:$H$9,"Failed")</f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F65A8-42D0-4B4E-A725-DA76FCDAB067}">
  <dimension ref="A3:B7"/>
  <sheetViews>
    <sheetView workbookViewId="0">
      <selection activeCell="A3" sqref="A3"/>
    </sheetView>
  </sheetViews>
  <sheetFormatPr defaultRowHeight="15"/>
  <cols>
    <col min="1" max="1" width="18.42578125" bestFit="1" customWidth="1"/>
    <col min="2" max="2" width="22.5703125" bestFit="1" customWidth="1"/>
  </cols>
  <sheetData>
    <row r="3" spans="1:2">
      <c r="A3" s="5" t="s">
        <v>14</v>
      </c>
      <c r="B3" t="s">
        <v>1</v>
      </c>
    </row>
    <row r="4" spans="1:2">
      <c r="A4" t="s">
        <v>15</v>
      </c>
      <c r="B4" s="6">
        <v>1</v>
      </c>
    </row>
    <row r="5" spans="1:2">
      <c r="A5" t="s">
        <v>16</v>
      </c>
      <c r="B5" s="6">
        <v>1</v>
      </c>
    </row>
    <row r="6" spans="1:2">
      <c r="A6" t="s">
        <v>42</v>
      </c>
      <c r="B6" s="6">
        <v>6</v>
      </c>
    </row>
    <row r="7" spans="1:2">
      <c r="A7" t="s">
        <v>7</v>
      </c>
      <c r="B7" s="6">
        <v>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B4B59-45F4-48C8-B2FC-BC25914C5103}">
  <dimension ref="A1:B6"/>
  <sheetViews>
    <sheetView workbookViewId="0">
      <selection activeCell="C10" sqref="C10"/>
    </sheetView>
  </sheetViews>
  <sheetFormatPr defaultRowHeight="15"/>
  <cols>
    <col min="1" max="2" width="19" customWidth="1"/>
  </cols>
  <sheetData>
    <row r="1" spans="1:2">
      <c r="A1" s="8" t="s">
        <v>25</v>
      </c>
      <c r="B1" s="8" t="s">
        <v>43</v>
      </c>
    </row>
    <row r="2" spans="1:2">
      <c r="A2" s="7" t="s">
        <v>27</v>
      </c>
      <c r="B2" s="7">
        <f>COUNTIF(Transcation_Data!$D$2:$D$9,A2)</f>
        <v>2</v>
      </c>
    </row>
    <row r="3" spans="1:2">
      <c r="A3" s="7" t="s">
        <v>28</v>
      </c>
      <c r="B3" s="7">
        <f>COUNTIF(Transcation_Data!$D$2:$D$9,A3)</f>
        <v>2</v>
      </c>
    </row>
    <row r="4" spans="1:2">
      <c r="A4" s="7" t="s">
        <v>29</v>
      </c>
      <c r="B4" s="7">
        <f>COUNTIF(Transcation_Data!$D$2:$D$9,A4)</f>
        <v>1</v>
      </c>
    </row>
    <row r="5" spans="1:2">
      <c r="A5" s="7" t="s">
        <v>30</v>
      </c>
      <c r="B5" s="7">
        <f>COUNTIF(Transcation_Data!$D$2:$D$9,A5)</f>
        <v>2</v>
      </c>
    </row>
    <row r="6" spans="1:2">
      <c r="A6" s="7" t="s">
        <v>31</v>
      </c>
      <c r="B6" s="7">
        <f>COUNTIF(Transcation_Data!$D$2:$D$9,A6)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2026-09-14T10:42:43Z</dcterms:created>
  <dcterms:modified xsi:type="dcterms:W3CDTF">2026-09-16T09:50:52Z</dcterms:modified>
  <cp:category/>
  <cp:contentStatus/>
</cp:coreProperties>
</file>